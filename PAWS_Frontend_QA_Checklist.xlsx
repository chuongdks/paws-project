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Checklist" sheetId="1" state="visible" r:id="rId3"/>
    <sheet name="Summary" sheetId="2" state="visible" r:id="rId4"/>
  </sheets>
  <definedNames>
    <definedName function="false" hidden="true" localSheetId="0" name="_xlnm._FilterDatabase" vbProcedure="false">'QA Checklist'!$A$1:$F$97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<sst xmlns="http://schemas.openxmlformats.org/spreadsheetml/2006/main" count="329" uniqueCount="212">
  <si>
    <t xml:space="preserve">Area</t>
  </si>
  <si>
    <t xml:space="preserve">#</t>
  </si>
  <si>
    <t xml:space="preserve">Test Case</t>
  </si>
  <si>
    <t xml:space="preserve">Expected Result</t>
  </si>
  <si>
    <t xml:space="preserve">Status</t>
  </si>
  <si>
    <t xml:space="preserve">Notes</t>
  </si>
  <si>
    <t xml:space="preserve">1. Auth — Login &amp; Register</t>
  </si>
  <si>
    <t xml:space="preserve">Register with valid data</t>
  </si>
  <si>
    <t xml:space="preserve">Auto-logged in, welcome toast shown, token present in localStorage</t>
  </si>
  <si>
    <t xml:space="preserve">Not Tested</t>
  </si>
  <si>
    <t xml:space="preserve">Register with an email that already exists</t>
  </si>
  <si>
    <t xml:space="preserve">409 error shown inline in the form, not silently swallowed</t>
  </si>
  <si>
    <t xml:space="preserve">Register with password under 6 characters</t>
  </si>
  <si>
    <t xml:space="preserve">Inline validation error, submission blocked</t>
  </si>
  <si>
    <t xml:space="preserve">Register with gender left unselected</t>
  </si>
  <si>
    <t xml:space="preserve">Register with malformed email</t>
  </si>
  <si>
    <t xml:space="preserve">Login with correct email, wrong password</t>
  </si>
  <si>
    <t xml:space="preserve">Generic 'Invalid email or password' error</t>
  </si>
  <si>
    <t xml:space="preserve">Login with non-existent email</t>
  </si>
  <si>
    <t xml:space="preserve">Login to a disabled account (is_active = 0)</t>
  </si>
  <si>
    <t xml:space="preserve">Login is rejected same as bad credentials</t>
  </si>
  <si>
    <t xml:space="preserve">Toggle 'Show password' in Login mode</t>
  </si>
  <si>
    <t xml:space="preserve">Password field switches between masked and plain text</t>
  </si>
  <si>
    <t xml:space="preserve">Toggle 'Show password' in Register mode</t>
  </si>
  <si>
    <t xml:space="preserve">Refresh page while logged in</t>
  </si>
  <si>
    <t xml:space="preserve">Session persists automatically (GET /auth/me.php runs on mount)</t>
  </si>
  <si>
    <t xml:space="preserve">Corrupt/expire the token in localStorage, then refresh</t>
  </si>
  <si>
    <t xml:space="preserve">Silently logged out, no crash, no stuck loading state</t>
  </si>
  <si>
    <t xml:space="preserve">Logout</t>
  </si>
  <si>
    <t xml:space="preserve">Success toast shown, token cleared, app still usable as anonymous</t>
  </si>
  <si>
    <t xml:space="preserve">2. Account Modal — Profile</t>
  </si>
  <si>
    <t xml:space="preserve">Edit gender, then Cancel</t>
  </si>
  <si>
    <t xml:space="preserve">Value reverts, no API call made</t>
  </si>
  <si>
    <t xml:space="preserve">Edit gender, then Save</t>
  </si>
  <si>
    <t xml:space="preserve">Value persists after modal close/reopen and page refresh</t>
  </si>
  <si>
    <t xml:space="preserve">Trigger a gender save error (e.g. offline)</t>
  </si>
  <si>
    <t xml:space="preserve">Inline error message shown, form stays editable</t>
  </si>
  <si>
    <t xml:space="preserve">3. Account Modal — Change Password</t>
  </si>
  <si>
    <t xml:space="preserve">Submit with wrong current password</t>
  </si>
  <si>
    <t xml:space="preserve">Server error shown inline, password not changed</t>
  </si>
  <si>
    <t xml:space="preserve">Submit with new password under 6 characters</t>
  </si>
  <si>
    <t xml:space="preserve">Client-side validation blocks submit before hitting API</t>
  </si>
  <si>
    <t xml:space="preserve">Submit with new/confirm password mismatched</t>
  </si>
  <si>
    <t xml:space="preserve">Submit a valid password change</t>
  </si>
  <si>
    <t xml:space="preserve">Success toast, form collapses/resets</t>
  </si>
  <si>
    <t xml:space="preserve">Log out and log back in with the new password</t>
  </si>
  <si>
    <t xml:space="preserve">Login succeeds with new password only</t>
  </si>
  <si>
    <t xml:space="preserve">Toggle 'Show passwords' inside the change-password form</t>
  </si>
  <si>
    <t xml:space="preserve">All three fields switch between masked and plain text together</t>
  </si>
  <si>
    <t xml:space="preserve">4. Account Modal — Manage Users (admin only)</t>
  </si>
  <si>
    <t xml:space="preserve">Non-admin opens Account Modal</t>
  </si>
  <si>
    <t xml:space="preserve">'Manage Users' section is not visible at all</t>
  </si>
  <si>
    <t xml:space="preserve">Admin expands 'Manage Users'</t>
  </si>
  <si>
    <t xml:space="preserve">List of users loads once; collapsing/re-expanding doesn't re-fetch needlessly</t>
  </si>
  <si>
    <t xml:space="preserve">Promote a normal user to admin</t>
  </si>
  <si>
    <t xml:space="preserve">Role badge updates immediately to 'Admin'</t>
  </si>
  <si>
    <t xml:space="preserve">Demote an admin back to member</t>
  </si>
  <si>
    <t xml:space="preserve">Role badge updates immediately to 'Member'</t>
  </si>
  <si>
    <t xml:space="preserve">Disable a user account</t>
  </si>
  <si>
    <t xml:space="preserve">'Disabled' badge appears next to that row</t>
  </si>
  <si>
    <t xml:space="preserve">Re-enable a disabled account</t>
  </si>
  <si>
    <t xml:space="preserve">'Disabled' badge disappears</t>
  </si>
  <si>
    <t xml:space="preserve">Confirm a disabled user genuinely cannot log in</t>
  </si>
  <si>
    <t xml:space="preserve">Login attempt fails for that account</t>
  </si>
  <si>
    <t xml:space="preserve">Check your own row in the list</t>
  </si>
  <si>
    <t xml:space="preserve">Promote/demote/disable buttons are absent for your own account</t>
  </si>
  <si>
    <t xml:space="preserve">5. Account Modal — Export (admin only)</t>
  </si>
  <si>
    <t xml:space="preserve">'Export services data (JSON)' link is not visible</t>
  </si>
  <si>
    <t xml:space="preserve">Admin clicks 'Export services data (JSON)'</t>
  </si>
  <si>
    <t xml:space="preserve">Browser downloads a service.json file</t>
  </si>
  <si>
    <t xml:space="preserve">Open the downloaded file</t>
  </si>
  <si>
    <t xml:space="preserve">Shape matches what createService() expects (id, name, category_id, tags, hours, etc.)</t>
  </si>
  <si>
    <t xml:space="preserve">6. Services CRUD (admin)</t>
  </si>
  <si>
    <t xml:space="preserve">Add Service with name/category left blank</t>
  </si>
  <si>
    <t xml:space="preserve">Inline required-field errors, submission blocked</t>
  </si>
  <si>
    <t xml:space="preserve">Add Service with malformed phone</t>
  </si>
  <si>
    <t xml:space="preserve">Inline validation error (expects XXX-XXX-XXXX)</t>
  </si>
  <si>
    <t xml:space="preserve">Add Service with malformed email</t>
  </si>
  <si>
    <t xml:space="preserve">Inline validation error</t>
  </si>
  <si>
    <t xml:space="preserve">Add Service with latitude but no longitude (and vice versa)</t>
  </si>
  <si>
    <t xml:space="preserve">Inline validation error on the missing field</t>
  </si>
  <si>
    <t xml:space="preserve">Add Service with out-of-range latitude/longitude</t>
  </si>
  <si>
    <t xml:space="preserve">Add Service with an invalid Photo URL</t>
  </si>
  <si>
    <t xml:space="preserve">Inline validation error, no broken image shown</t>
  </si>
  <si>
    <t xml:space="preserve">Add Service with a valid but broken image URL</t>
  </si>
  <si>
    <t xml:space="preserve">Preview falls back gracefully (broken-image state), not a crashed layout</t>
  </si>
  <si>
    <t xml:space="preserve">Set Hours of Operation: mark a day Closed</t>
  </si>
  <si>
    <t xml:space="preserve">That day shows 'Closed', time inputs hidden for it</t>
  </si>
  <si>
    <t xml:space="preserve">Use 'Copy Monday's hours to Tue-Fri'</t>
  </si>
  <si>
    <t xml:space="preserve">Tue-Fri fields all match Monday's values</t>
  </si>
  <si>
    <t xml:space="preserve">Toggle 'By appointment only'</t>
  </si>
  <si>
    <t xml:space="preserve">Hours grid hides/clears appropriately</t>
  </si>
  <si>
    <t xml:space="preserve">Save new service successfully</t>
  </si>
  <si>
    <t xml:space="preserve">Toast confirms, service appears in Sidebar list and on the map</t>
  </si>
  <si>
    <t xml:space="preserve">Edit an existing service</t>
  </si>
  <si>
    <t xml:space="preserve">Form pre-fills all fields correctly, including previously assigned tags</t>
  </si>
  <si>
    <t xml:space="preserve">Edit a service with legacy tags (id: null, matched by name)</t>
  </si>
  <si>
    <t xml:space="preserve">Tags still show as checked correctly in the edit form</t>
  </si>
  <si>
    <t xml:space="preserve">Change Verification Status (admin, edit mode only)</t>
  </si>
  <si>
    <t xml:space="preserve">New status persists after save and shows on ServiceCard/DetailPanel</t>
  </si>
  <si>
    <t xml:space="preserve">Delete a service</t>
  </si>
  <si>
    <t xml:space="preserve">Confirm modal appears; after confirming, service disappears from list/map immediately</t>
  </si>
  <si>
    <t xml:space="preserve">Attempt to close a dirty Add/Edit form via backdrop click or Escape</t>
  </si>
  <si>
    <t xml:space="preserve">Close is blocked while the form has unsaved changes</t>
  </si>
  <si>
    <t xml:space="preserve">7. Recommendations — Public Submission</t>
  </si>
  <si>
    <t xml:space="preserve">Submit 'Suggest a Service' while logged out</t>
  </si>
  <si>
    <t xml:space="preserve">Anonymous submission succeeds, confirmation toast shown</t>
  </si>
  <si>
    <t xml:space="preserve">Submit while logged in</t>
  </si>
  <si>
    <t xml:space="preserve">Name/email fields pre-fill from the logged-in account</t>
  </si>
  <si>
    <t xml:space="preserve">Fill the hidden honeypot field via devtools, then submit</t>
  </si>
  <si>
    <t xml:space="preserve">Submission silently no-ops (no real row created), no visible error</t>
  </si>
  <si>
    <t xml:space="preserve">Submit 6+ times rapidly from the same session</t>
  </si>
  <si>
    <t xml:space="preserve">Rate limit (429) shows a reasonable error, app doesn't crash</t>
  </si>
  <si>
    <t xml:space="preserve">Submit with an invalid Photo URL / lat-long / phone / email</t>
  </si>
  <si>
    <t xml:space="preserve">Same inline validation as the admin Add Service form</t>
  </si>
  <si>
    <t xml:space="preserve">8. Recommendations — Admin Moderation</t>
  </si>
  <si>
    <t xml:space="preserve">Switch status filter (new/reviewing/approved/rejected/all)</t>
  </si>
  <si>
    <t xml:space="preserve">List re-fetches and shows only matching recommendations</t>
  </si>
  <si>
    <t xml:space="preserve">Mark a 'new' suggestion as Reviewing</t>
  </si>
  <si>
    <t xml:space="preserve">Status updates to 'Reviewing', still actionable</t>
  </si>
  <si>
    <t xml:space="preserve">Approve a suggestion</t>
  </si>
  <si>
    <t xml:space="preserve">A real service now appears in the main Services list and on the map</t>
  </si>
  <si>
    <t xml:space="preserve">Reject a suggestion</t>
  </si>
  <si>
    <t xml:space="preserve">Stays out of Services; appears when filtering by 'rejected'</t>
  </si>
  <si>
    <t xml:space="preserve">Delete (hard) a suggestion</t>
  </si>
  <si>
    <t xml:space="preserve">Gone entirely, does not reappear under any status filter</t>
  </si>
  <si>
    <t xml:space="preserve">Watch the Suggestions tab badge count</t>
  </si>
  <si>
    <t xml:space="preserve">Updates correctly after each start-review/approve/reject/delete action</t>
  </si>
  <si>
    <t xml:space="preserve">9. Reviews — Member Flow</t>
  </si>
  <si>
    <t xml:space="preserve">Submit a review as a logged-in member (not yet reviewed)</t>
  </si>
  <si>
    <t xml:space="preserve">Review saved as pending, confirmation message shown on the service</t>
  </si>
  <si>
    <t xml:space="preserve">Attempt a second review on the same service</t>
  </si>
  <si>
    <t xml:space="preserve">Blocked with a 409 'already reviewed' style message</t>
  </si>
  <si>
    <t xml:space="preserve">Edit your own existing review</t>
  </si>
  <si>
    <t xml:space="preserve">Resubmits as pending; old approved version hidden from public view until re-approved</t>
  </si>
  <si>
    <t xml:space="preserve">Attempt to submit a review as an admin account</t>
  </si>
  <si>
    <t xml:space="preserve">Review UI is blocked/hidden with an explanatory message</t>
  </si>
  <si>
    <t xml:space="preserve">10. Reviews — Admin Moderation (per-service)</t>
  </si>
  <si>
    <t xml:space="preserve">Open a service with pending reviews as admin</t>
  </si>
  <si>
    <t xml:space="preserve">Pending Reviews section shows all pending reviews for that listing</t>
  </si>
  <si>
    <t xml:space="preserve">Approve a pending review from the service panel</t>
  </si>
  <si>
    <t xml:space="preserve">Moves into the public reviews list, disappears from pending</t>
  </si>
  <si>
    <t xml:space="preserve">Reject a pending review from the service panel</t>
  </si>
  <si>
    <t xml:space="preserve">Removed from pending, does not appear publicly</t>
  </si>
  <si>
    <t xml:space="preserve">11. Reviews — Admin 'Reviews' Tab (cross-listing)</t>
  </si>
  <si>
    <t xml:space="preserve">Open the Reviews tab with pending reviews on multiple services</t>
  </si>
  <si>
    <t xml:space="preserve">Shows pending reviews from every service at once, not just one</t>
  </si>
  <si>
    <t xml:space="preserve">Approve/reject a review from the Reviews tab</t>
  </si>
  <si>
    <t xml:space="preserve">Badge count and list update immediately</t>
  </si>
  <si>
    <t xml:space="preserve">Re-open the specific service afterward</t>
  </si>
  <si>
    <t xml:space="preserve">That service's own pending list reflects the same action (no stale cache)</t>
  </si>
  <si>
    <t xml:space="preserve">Click a service name on a review card in the Reviews tab</t>
  </si>
  <si>
    <t xml:space="preserve">Navigates directly to that service's detail panel</t>
  </si>
  <si>
    <t xml:space="preserve">Confirm behavior when reviews.php has no listing_id and caller is admin</t>
  </si>
  <si>
    <t xml:space="preserve">Returns cross-listing pending reviews (backend-dependent — confirm with backend team)</t>
  </si>
  <si>
    <t xml:space="preserve">12. Search / Filters / Map</t>
  </si>
  <si>
    <t xml:space="preserve">Search by partial service name</t>
  </si>
  <si>
    <t xml:space="preserve">Matching results returned via fuzzy search</t>
  </si>
  <si>
    <t xml:space="preserve">Search with a typo</t>
  </si>
  <si>
    <t xml:space="preserve">Fuzzy matching still returns reasonably close results</t>
  </si>
  <si>
    <t xml:space="preserve">Search by description or city keyword</t>
  </si>
  <si>
    <t xml:space="preserve">Matching results returned</t>
  </si>
  <si>
    <t xml:space="preserve">Access filter: In-Person</t>
  </si>
  <si>
    <t xml:space="preserve">Only services with a street address shown</t>
  </si>
  <si>
    <t xml:space="preserve">Access filter: No Fixed Location</t>
  </si>
  <si>
    <t xml:space="preserve">Only services without a street address shown (e.g. helplines)</t>
  </si>
  <si>
    <t xml:space="preserve">Combine search + access filter + category filter simultaneously</t>
  </si>
  <si>
    <t xml:space="preserve">All three apply together correctly</t>
  </si>
  <si>
    <t xml:space="preserve">Click 'Clear filters'</t>
  </si>
  <si>
    <t xml:space="preserve">Search box, access filter, and category filter all reset</t>
  </si>
  <si>
    <t xml:space="preserve">Click a map pin</t>
  </si>
  <si>
    <t xml:space="preserve">Selects that service, scrolls sidebar to matching card, opens popup</t>
  </si>
  <si>
    <t xml:space="preserve">Click a sidebar card</t>
  </si>
  <si>
    <t xml:space="preserve">Map flies to that service's pin, opens popup</t>
  </si>
  <si>
    <t xml:space="preserve">Click 'Near Me' and allow geolocation</t>
  </si>
  <si>
    <t xml:space="preserve">Map flies to the user's current location</t>
  </si>
  <si>
    <t xml:space="preserve">Click 'Near Me' and deny geolocation</t>
  </si>
  <si>
    <t xml:space="preserve">Graceful alert/error, no crash</t>
  </si>
  <si>
    <t xml:space="preserve">Filter out the currently selected service</t>
  </si>
  <si>
    <t xml:space="preserve">Selection clears automatically without error</t>
  </si>
  <si>
    <t xml:space="preserve">13. Layout / UX</t>
  </si>
  <si>
    <t xml:space="preserve">Collapse/expand sidebar (desktop floating handle)</t>
  </si>
  <si>
    <t xml:space="preserve">Sidebar animates open/closed correctly</t>
  </si>
  <si>
    <t xml:space="preserve">Collapse/expand sidebar (mobile 'Hide/Show list' bar)</t>
  </si>
  <si>
    <t xml:space="preserve">Same behavior on narrow viewport</t>
  </si>
  <si>
    <t xml:space="preserve">Toggle dark mode</t>
  </si>
  <si>
    <t xml:space="preserve">All modals, badges, and map controls remain legible with good contrast</t>
  </si>
  <si>
    <t xml:space="preserve">Refresh after toggling dark mode</t>
  </si>
  <si>
    <t xml:space="preserve">Theme choice persists</t>
  </si>
  <si>
    <t xml:space="preserve">Tab through an open modal</t>
  </si>
  <si>
    <t xml:space="preserve">Focus cycles only within that modal, not the page behind it</t>
  </si>
  <si>
    <t xml:space="preserve">Press Escape on a clean modal</t>
  </si>
  <si>
    <t xml:space="preserve">Modal closes</t>
  </si>
  <si>
    <t xml:space="preserve">Press Escape on a dirty form (Add/Edit Service, Recommend Service, Register)</t>
  </si>
  <si>
    <t xml:space="preserve">Close is blocked while unsaved changes exist</t>
  </si>
  <si>
    <t xml:space="preserve">Trigger multiple toasts quickly</t>
  </si>
  <si>
    <t xml:space="preserve">They stack cleanly and auto-dismiss on their own timers</t>
  </si>
  <si>
    <t xml:space="preserve">Resize to mobile width mid-session</t>
  </si>
  <si>
    <t xml:space="preserve">Hamburger nav, stacked layout, and collapsed sidebar bar all behave correctly</t>
  </si>
  <si>
    <t xml:space="preserve">14. Data Resilience</t>
  </si>
  <si>
    <t xml:space="preserve">Block/kill the backend API and reload the app</t>
  </si>
  <si>
    <t xml:space="preserve">Falls back to service.json with an amber 'could not reach live directory' banner</t>
  </si>
  <si>
    <t xml:space="preserve">Confirm categories/tags also fall back correctly offline</t>
  </si>
  <si>
    <t xml:space="preserve">FilterBar and Add/Edit forms still populate with fallback categories/tags</t>
  </si>
  <si>
    <t xml:space="preserve">Compare an exported service.json against the live offline fallback file</t>
  </si>
  <si>
    <t xml:space="preserve">Shape matches; file could be dropped in as a refreshed fallback</t>
  </si>
  <si>
    <t xml:space="preserve">Total Tests</t>
  </si>
  <si>
    <t xml:space="preserve">Passed</t>
  </si>
  <si>
    <t xml:space="preserve">Failed</t>
  </si>
  <si>
    <t xml:space="preserve">Blocked</t>
  </si>
  <si>
    <t xml:space="preserve">Not Tested / N/A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</si>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</sst>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3.75" hidden="false" customHeight="true" outlineLevel="0" collapsed="false">
      <c r="A2" s="2" t="s">
        <v>6</v>
      </c>
      <c r="B2" s="3" t="n">
        <v>1</v>
      </c>
      <c r="C2" s="4" t="s">
        <v>7</v>
      </c>
      <c r="D2" s="4" t="s">
        <v>8</v>
      </c>
      <c r="E2" s="3" t="s">
        <v>9</v>
      </c>
      <c r="F2" s="4"/>
    </row>
    <row r="3" customFormat="false" ht="33.75" hidden="false" customHeight="true" outlineLevel="0" collapsed="false">
      <c r="A3" s="2"/>
      <c r="B3" s="3" t="n">
        <v>2</v>
      </c>
      <c r="C3" s="4" t="s">
        <v>10</v>
      </c>
      <c r="D3" s="4" t="s">
        <v>11</v>
      </c>
      <c r="E3" s="3" t="s">
        <v>9</v>
      </c>
      <c r="F3" s="4"/>
    </row>
    <row r="4" customFormat="false" ht="33.75" hidden="false" customHeight="true" outlineLevel="0" collapsed="false">
      <c r="A4" s="2"/>
      <c r="B4" s="3" t="n">
        <v>3</v>
      </c>
      <c r="C4" s="4" t="s">
        <v>12</v>
      </c>
      <c r="D4" s="4" t="s">
        <v>13</v>
      </c>
      <c r="E4" s="3" t="s">
        <v>9</v>
      </c>
      <c r="F4" s="4"/>
    </row>
    <row r="5" customFormat="false" ht="33.75" hidden="false" customHeight="true" outlineLevel="0" collapsed="false">
      <c r="A5" s="2"/>
      <c r="B5" s="3" t="n">
        <v>4</v>
      </c>
      <c r="C5" s="4" t="s">
        <v>14</v>
      </c>
      <c r="D5" s="4" t="s">
        <v>13</v>
      </c>
      <c r="E5" s="3" t="s">
        <v>9</v>
      </c>
      <c r="F5" s="4"/>
    </row>
    <row r="6" customFormat="false" ht="33.75" hidden="false" customHeight="true" outlineLevel="0" collapsed="false">
      <c r="A6" s="2"/>
      <c r="B6" s="3" t="n">
        <v>5</v>
      </c>
      <c r="C6" s="4" t="s">
        <v>15</v>
      </c>
      <c r="D6" s="4" t="s">
        <v>13</v>
      </c>
      <c r="E6" s="3" t="s">
        <v>9</v>
      </c>
      <c r="F6" s="4"/>
    </row>
    <row r="7" customFormat="false" ht="33.75" hidden="false" customHeight="true" outlineLevel="0" collapsed="false">
      <c r="A7" s="2"/>
      <c r="B7" s="3" t="n">
        <v>6</v>
      </c>
      <c r="C7" s="4" t="s">
        <v>16</v>
      </c>
      <c r="D7" s="4" t="s">
        <v>17</v>
      </c>
      <c r="E7" s="3" t="s">
        <v>9</v>
      </c>
      <c r="F7" s="4"/>
    </row>
    <row r="8" customFormat="false" ht="33.75" hidden="false" customHeight="true" outlineLevel="0" collapsed="false">
      <c r="A8" s="2"/>
      <c r="B8" s="3" t="n">
        <v>7</v>
      </c>
      <c r="C8" s="4" t="s">
        <v>18</v>
      </c>
      <c r="D8" s="4" t="s">
        <v>17</v>
      </c>
      <c r="E8" s="3" t="s">
        <v>9</v>
      </c>
      <c r="F8" s="4"/>
    </row>
    <row r="9" customFormat="false" ht="33.75" hidden="false" customHeight="true" outlineLevel="0" collapsed="false">
      <c r="A9" s="2"/>
      <c r="B9" s="3" t="n">
        <v>8</v>
      </c>
      <c r="C9" s="4" t="s">
        <v>19</v>
      </c>
      <c r="D9" s="4" t="s">
        <v>20</v>
      </c>
      <c r="E9" s="3" t="s">
        <v>9</v>
      </c>
      <c r="F9" s="4"/>
    </row>
    <row r="10" customFormat="false" ht="33.75" hidden="false" customHeight="true" outlineLevel="0" collapsed="false">
      <c r="A10" s="2"/>
      <c r="B10" s="3" t="n">
        <v>9</v>
      </c>
      <c r="C10" s="4" t="s">
        <v>21</v>
      </c>
      <c r="D10" s="4" t="s">
        <v>22</v>
      </c>
      <c r="E10" s="3" t="s">
        <v>9</v>
      </c>
      <c r="F10" s="4"/>
    </row>
    <row r="11" customFormat="false" ht="33.75" hidden="false" customHeight="true" outlineLevel="0" collapsed="false">
      <c r="A11" s="2"/>
      <c r="B11" s="3" t="n">
        <v>10</v>
      </c>
      <c r="C11" s="4" t="s">
        <v>23</v>
      </c>
      <c r="D11" s="4" t="s">
        <v>22</v>
      </c>
      <c r="E11" s="3" t="s">
        <v>9</v>
      </c>
      <c r="F11" s="4"/>
    </row>
    <row r="12" customFormat="false" ht="33.75" hidden="false" customHeight="true" outlineLevel="0" collapsed="false">
      <c r="A12" s="2"/>
      <c r="B12" s="3" t="n">
        <v>11</v>
      </c>
      <c r="C12" s="4" t="s">
        <v>24</v>
      </c>
      <c r="D12" s="4" t="s">
        <v>25</v>
      </c>
      <c r="E12" s="3" t="s">
        <v>9</v>
      </c>
      <c r="F12" s="4"/>
    </row>
    <row r="13" customFormat="false" ht="33.75" hidden="false" customHeight="true" outlineLevel="0" collapsed="false">
      <c r="A13" s="2"/>
      <c r="B13" s="3" t="n">
        <v>12</v>
      </c>
      <c r="C13" s="4" t="s">
        <v>26</v>
      </c>
      <c r="D13" s="4" t="s">
        <v>27</v>
      </c>
      <c r="E13" s="3" t="s">
        <v>9</v>
      </c>
      <c r="F13" s="4"/>
    </row>
    <row r="14" customFormat="false" ht="33.75" hidden="false" customHeight="true" outlineLevel="0" collapsed="false">
      <c r="A14" s="2"/>
      <c r="B14" s="3" t="n">
        <v>13</v>
      </c>
      <c r="C14" s="4" t="s">
        <v>28</v>
      </c>
      <c r="D14" s="4" t="s">
        <v>29</v>
      </c>
      <c r="E14" s="3" t="s">
        <v>9</v>
      </c>
      <c r="F14" s="4"/>
    </row>
    <row r="15" customFormat="false" ht="33.75" hidden="false" customHeight="true" outlineLevel="0" collapsed="false">
      <c r="A15" s="2" t="s">
        <v>30</v>
      </c>
      <c r="B15" s="3" t="n">
        <v>1</v>
      </c>
      <c r="C15" s="4" t="s">
        <v>31</v>
      </c>
      <c r="D15" s="4" t="s">
        <v>32</v>
      </c>
      <c r="E15" s="3" t="s">
        <v>9</v>
      </c>
      <c r="F15" s="4"/>
    </row>
    <row r="16" customFormat="false" ht="33.75" hidden="false" customHeight="true" outlineLevel="0" collapsed="false">
      <c r="A16" s="2"/>
      <c r="B16" s="3" t="n">
        <v>2</v>
      </c>
      <c r="C16" s="4" t="s">
        <v>33</v>
      </c>
      <c r="D16" s="4" t="s">
        <v>34</v>
      </c>
      <c r="E16" s="3" t="s">
        <v>9</v>
      </c>
      <c r="F16" s="4"/>
    </row>
    <row r="17" customFormat="false" ht="33.75" hidden="false" customHeight="true" outlineLevel="0" collapsed="false">
      <c r="A17" s="2"/>
      <c r="B17" s="3" t="n">
        <v>3</v>
      </c>
      <c r="C17" s="4" t="s">
        <v>35</v>
      </c>
      <c r="D17" s="4" t="s">
        <v>36</v>
      </c>
      <c r="E17" s="3" t="s">
        <v>9</v>
      </c>
      <c r="F17" s="4"/>
    </row>
    <row r="18" customFormat="false" ht="33.75" hidden="false" customHeight="true" outlineLevel="0" collapsed="false">
      <c r="A18" s="2" t="s">
        <v>37</v>
      </c>
      <c r="B18" s="3" t="n">
        <v>1</v>
      </c>
      <c r="C18" s="4" t="s">
        <v>38</v>
      </c>
      <c r="D18" s="4" t="s">
        <v>39</v>
      </c>
      <c r="E18" s="3" t="s">
        <v>9</v>
      </c>
      <c r="F18" s="4"/>
    </row>
    <row r="19" customFormat="false" ht="33.75" hidden="false" customHeight="true" outlineLevel="0" collapsed="false">
      <c r="A19" s="2"/>
      <c r="B19" s="3" t="n">
        <v>2</v>
      </c>
      <c r="C19" s="4" t="s">
        <v>40</v>
      </c>
      <c r="D19" s="4" t="s">
        <v>41</v>
      </c>
      <c r="E19" s="3" t="s">
        <v>9</v>
      </c>
      <c r="F19" s="4"/>
    </row>
    <row r="20" customFormat="false" ht="33.75" hidden="false" customHeight="true" outlineLevel="0" collapsed="false">
      <c r="A20" s="2"/>
      <c r="B20" s="3" t="n">
        <v>3</v>
      </c>
      <c r="C20" s="4" t="s">
        <v>42</v>
      </c>
      <c r="D20" s="4" t="s">
        <v>41</v>
      </c>
      <c r="E20" s="3" t="s">
        <v>9</v>
      </c>
      <c r="F20" s="4"/>
    </row>
    <row r="21" customFormat="false" ht="33.75" hidden="false" customHeight="true" outlineLevel="0" collapsed="false">
      <c r="A21" s="2"/>
      <c r="B21" s="3" t="n">
        <v>4</v>
      </c>
      <c r="C21" s="4" t="s">
        <v>43</v>
      </c>
      <c r="D21" s="4" t="s">
        <v>44</v>
      </c>
      <c r="E21" s="3" t="s">
        <v>9</v>
      </c>
      <c r="F21" s="4"/>
    </row>
    <row r="22" customFormat="false" ht="33.75" hidden="false" customHeight="true" outlineLevel="0" collapsed="false">
      <c r="A22" s="2"/>
      <c r="B22" s="3" t="n">
        <v>5</v>
      </c>
      <c r="C22" s="4" t="s">
        <v>45</v>
      </c>
      <c r="D22" s="4" t="s">
        <v>46</v>
      </c>
      <c r="E22" s="3" t="s">
        <v>9</v>
      </c>
      <c r="F22" s="4"/>
    </row>
    <row r="23" customFormat="false" ht="33.75" hidden="false" customHeight="true" outlineLevel="0" collapsed="false">
      <c r="A23" s="2"/>
      <c r="B23" s="3" t="n">
        <v>6</v>
      </c>
      <c r="C23" s="4" t="s">
        <v>47</v>
      </c>
      <c r="D23" s="4" t="s">
        <v>48</v>
      </c>
      <c r="E23" s="3" t="s">
        <v>9</v>
      </c>
      <c r="F23" s="4"/>
    </row>
    <row r="24" customFormat="false" ht="33.75" hidden="false" customHeight="true" outlineLevel="0" collapsed="false">
      <c r="A24" s="2" t="s">
        <v>49</v>
      </c>
      <c r="B24" s="3" t="n">
        <v>1</v>
      </c>
      <c r="C24" s="4" t="s">
        <v>50</v>
      </c>
      <c r="D24" s="4" t="s">
        <v>51</v>
      </c>
      <c r="E24" s="3" t="s">
        <v>9</v>
      </c>
      <c r="F24" s="4"/>
    </row>
    <row r="25" customFormat="false" ht="33.75" hidden="false" customHeight="true" outlineLevel="0" collapsed="false">
      <c r="A25" s="2"/>
      <c r="B25" s="3" t="n">
        <v>2</v>
      </c>
      <c r="C25" s="4" t="s">
        <v>52</v>
      </c>
      <c r="D25" s="4" t="s">
        <v>53</v>
      </c>
      <c r="E25" s="3" t="s">
        <v>9</v>
      </c>
      <c r="F25" s="4"/>
    </row>
    <row r="26" customFormat="false" ht="33.75" hidden="false" customHeight="true" outlineLevel="0" collapsed="false">
      <c r="A26" s="2"/>
      <c r="B26" s="3" t="n">
        <v>3</v>
      </c>
      <c r="C26" s="4" t="s">
        <v>54</v>
      </c>
      <c r="D26" s="4" t="s">
        <v>55</v>
      </c>
      <c r="E26" s="3" t="s">
        <v>9</v>
      </c>
      <c r="F26" s="4"/>
    </row>
    <row r="27" customFormat="false" ht="33.75" hidden="false" customHeight="true" outlineLevel="0" collapsed="false">
      <c r="A27" s="2"/>
      <c r="B27" s="3" t="n">
        <v>4</v>
      </c>
      <c r="C27" s="4" t="s">
        <v>56</v>
      </c>
      <c r="D27" s="4" t="s">
        <v>57</v>
      </c>
      <c r="E27" s="3" t="s">
        <v>9</v>
      </c>
      <c r="F27" s="4"/>
    </row>
    <row r="28" customFormat="false" ht="33.75" hidden="false" customHeight="true" outlineLevel="0" collapsed="false">
      <c r="A28" s="2"/>
      <c r="B28" s="3" t="n">
        <v>5</v>
      </c>
      <c r="C28" s="4" t="s">
        <v>58</v>
      </c>
      <c r="D28" s="4" t="s">
        <v>59</v>
      </c>
      <c r="E28" s="3" t="s">
        <v>9</v>
      </c>
      <c r="F28" s="4"/>
    </row>
    <row r="29" customFormat="false" ht="33.75" hidden="false" customHeight="true" outlineLevel="0" collapsed="false">
      <c r="A29" s="2"/>
      <c r="B29" s="3" t="n">
        <v>6</v>
      </c>
      <c r="C29" s="4" t="s">
        <v>60</v>
      </c>
      <c r="D29" s="4" t="s">
        <v>61</v>
      </c>
      <c r="E29" s="3" t="s">
        <v>9</v>
      </c>
      <c r="F29" s="4"/>
    </row>
    <row r="30" customFormat="false" ht="33.75" hidden="false" customHeight="true" outlineLevel="0" collapsed="false">
      <c r="A30" s="2"/>
      <c r="B30" s="3" t="n">
        <v>7</v>
      </c>
      <c r="C30" s="4" t="s">
        <v>62</v>
      </c>
      <c r="D30" s="4" t="s">
        <v>63</v>
      </c>
      <c r="E30" s="3" t="s">
        <v>9</v>
      </c>
      <c r="F30" s="4"/>
    </row>
    <row r="31" customFormat="false" ht="33.75" hidden="false" customHeight="true" outlineLevel="0" collapsed="false">
      <c r="A31" s="2"/>
      <c r="B31" s="3" t="n">
        <v>8</v>
      </c>
      <c r="C31" s="4" t="s">
        <v>64</v>
      </c>
      <c r="D31" s="4" t="s">
        <v>65</v>
      </c>
      <c r="E31" s="3" t="s">
        <v>9</v>
      </c>
      <c r="F31" s="4"/>
    </row>
    <row r="32" customFormat="false" ht="33.75" hidden="false" customHeight="true" outlineLevel="0" collapsed="false">
      <c r="A32" s="2" t="s">
        <v>66</v>
      </c>
      <c r="B32" s="3" t="n">
        <v>1</v>
      </c>
      <c r="C32" s="4" t="s">
        <v>50</v>
      </c>
      <c r="D32" s="4" t="s">
        <v>67</v>
      </c>
      <c r="E32" s="3" t="s">
        <v>9</v>
      </c>
      <c r="F32" s="4"/>
    </row>
    <row r="33" customFormat="false" ht="33.75" hidden="false" customHeight="true" outlineLevel="0" collapsed="false">
      <c r="A33" s="2"/>
      <c r="B33" s="3" t="n">
        <v>2</v>
      </c>
      <c r="C33" s="4" t="s">
        <v>68</v>
      </c>
      <c r="D33" s="4" t="s">
        <v>69</v>
      </c>
      <c r="E33" s="3" t="s">
        <v>9</v>
      </c>
      <c r="F33" s="4"/>
    </row>
    <row r="34" customFormat="false" ht="33.75" hidden="false" customHeight="true" outlineLevel="0" collapsed="false">
      <c r="A34" s="2"/>
      <c r="B34" s="3" t="n">
        <v>3</v>
      </c>
      <c r="C34" s="4" t="s">
        <v>70</v>
      </c>
      <c r="D34" s="4" t="s">
        <v>71</v>
      </c>
      <c r="E34" s="3" t="s">
        <v>9</v>
      </c>
      <c r="F34" s="4"/>
    </row>
    <row r="35" customFormat="false" ht="33.75" hidden="false" customHeight="true" outlineLevel="0" collapsed="false">
      <c r="A35" s="2" t="s">
        <v>72</v>
      </c>
      <c r="B35" s="3" t="n">
        <v>1</v>
      </c>
      <c r="C35" s="4" t="s">
        <v>73</v>
      </c>
      <c r="D35" s="4" t="s">
        <v>74</v>
      </c>
      <c r="E35" s="3" t="s">
        <v>9</v>
      </c>
      <c r="F35" s="4"/>
    </row>
    <row r="36" customFormat="false" ht="33.75" hidden="false" customHeight="true" outlineLevel="0" collapsed="false">
      <c r="A36" s="2"/>
      <c r="B36" s="3" t="n">
        <v>2</v>
      </c>
      <c r="C36" s="4" t="s">
        <v>75</v>
      </c>
      <c r="D36" s="4" t="s">
        <v>76</v>
      </c>
      <c r="E36" s="3" t="s">
        <v>9</v>
      </c>
      <c r="F36" s="4"/>
    </row>
    <row r="37" customFormat="false" ht="33.75" hidden="false" customHeight="true" outlineLevel="0" collapsed="false">
      <c r="A37" s="2"/>
      <c r="B37" s="3" t="n">
        <v>3</v>
      </c>
      <c r="C37" s="4" t="s">
        <v>77</v>
      </c>
      <c r="D37" s="4" t="s">
        <v>78</v>
      </c>
      <c r="E37" s="3" t="s">
        <v>9</v>
      </c>
      <c r="F37" s="4"/>
    </row>
    <row r="38" customFormat="false" ht="33.75" hidden="false" customHeight="true" outlineLevel="0" collapsed="false">
      <c r="A38" s="2"/>
      <c r="B38" s="3" t="n">
        <v>4</v>
      </c>
      <c r="C38" s="4" t="s">
        <v>79</v>
      </c>
      <c r="D38" s="4" t="s">
        <v>80</v>
      </c>
      <c r="E38" s="3" t="s">
        <v>9</v>
      </c>
      <c r="F38" s="4"/>
    </row>
    <row r="39" customFormat="false" ht="33.75" hidden="false" customHeight="true" outlineLevel="0" collapsed="false">
      <c r="A39" s="2"/>
      <c r="B39" s="3" t="n">
        <v>5</v>
      </c>
      <c r="C39" s="4" t="s">
        <v>81</v>
      </c>
      <c r="D39" s="4" t="s">
        <v>78</v>
      </c>
      <c r="E39" s="3" t="s">
        <v>9</v>
      </c>
      <c r="F39" s="4"/>
    </row>
    <row r="40" customFormat="false" ht="33.75" hidden="false" customHeight="true" outlineLevel="0" collapsed="false">
      <c r="A40" s="2"/>
      <c r="B40" s="3" t="n">
        <v>6</v>
      </c>
      <c r="C40" s="4" t="s">
        <v>82</v>
      </c>
      <c r="D40" s="4" t="s">
        <v>83</v>
      </c>
      <c r="E40" s="3" t="s">
        <v>9</v>
      </c>
      <c r="F40" s="4"/>
    </row>
    <row r="41" customFormat="false" ht="33.75" hidden="false" customHeight="true" outlineLevel="0" collapsed="false">
      <c r="A41" s="2"/>
      <c r="B41" s="3" t="n">
        <v>7</v>
      </c>
      <c r="C41" s="4" t="s">
        <v>84</v>
      </c>
      <c r="D41" s="4" t="s">
        <v>85</v>
      </c>
      <c r="E41" s="3" t="s">
        <v>9</v>
      </c>
      <c r="F41" s="4"/>
    </row>
    <row r="42" customFormat="false" ht="33.75" hidden="false" customHeight="true" outlineLevel="0" collapsed="false">
      <c r="A42" s="2"/>
      <c r="B42" s="3" t="n">
        <v>8</v>
      </c>
      <c r="C42" s="4" t="s">
        <v>86</v>
      </c>
      <c r="D42" s="4" t="s">
        <v>87</v>
      </c>
      <c r="E42" s="3" t="s">
        <v>9</v>
      </c>
      <c r="F42" s="4"/>
    </row>
    <row r="43" customFormat="false" ht="33.75" hidden="false" customHeight="true" outlineLevel="0" collapsed="false">
      <c r="A43" s="2"/>
      <c r="B43" s="3" t="n">
        <v>9</v>
      </c>
      <c r="C43" s="4" t="s">
        <v>88</v>
      </c>
      <c r="D43" s="4" t="s">
        <v>89</v>
      </c>
      <c r="E43" s="3" t="s">
        <v>9</v>
      </c>
      <c r="F43" s="4"/>
    </row>
    <row r="44" customFormat="false" ht="33.75" hidden="false" customHeight="true" outlineLevel="0" collapsed="false">
      <c r="A44" s="2"/>
      <c r="B44" s="3" t="n">
        <v>10</v>
      </c>
      <c r="C44" s="4" t="s">
        <v>90</v>
      </c>
      <c r="D44" s="4" t="s">
        <v>91</v>
      </c>
      <c r="E44" s="3" t="s">
        <v>9</v>
      </c>
      <c r="F44" s="4"/>
    </row>
    <row r="45" customFormat="false" ht="33.75" hidden="false" customHeight="true" outlineLevel="0" collapsed="false">
      <c r="A45" s="2"/>
      <c r="B45" s="3" t="n">
        <v>11</v>
      </c>
      <c r="C45" s="4" t="s">
        <v>92</v>
      </c>
      <c r="D45" s="4" t="s">
        <v>93</v>
      </c>
      <c r="E45" s="3" t="s">
        <v>9</v>
      </c>
      <c r="F45" s="4"/>
    </row>
    <row r="46" customFormat="false" ht="33.75" hidden="false" customHeight="true" outlineLevel="0" collapsed="false">
      <c r="A46" s="2"/>
      <c r="B46" s="3" t="n">
        <v>12</v>
      </c>
      <c r="C46" s="4" t="s">
        <v>94</v>
      </c>
      <c r="D46" s="4" t="s">
        <v>95</v>
      </c>
      <c r="E46" s="3" t="s">
        <v>9</v>
      </c>
      <c r="F46" s="4"/>
    </row>
    <row r="47" customFormat="false" ht="33.75" hidden="false" customHeight="true" outlineLevel="0" collapsed="false">
      <c r="A47" s="2"/>
      <c r="B47" s="3" t="n">
        <v>13</v>
      </c>
      <c r="C47" s="4" t="s">
        <v>96</v>
      </c>
      <c r="D47" s="4" t="s">
        <v>97</v>
      </c>
      <c r="E47" s="3" t="s">
        <v>9</v>
      </c>
      <c r="F47" s="4"/>
    </row>
    <row r="48" customFormat="false" ht="33.75" hidden="false" customHeight="true" outlineLevel="0" collapsed="false">
      <c r="A48" s="2"/>
      <c r="B48" s="3" t="n">
        <v>14</v>
      </c>
      <c r="C48" s="4" t="s">
        <v>98</v>
      </c>
      <c r="D48" s="4" t="s">
        <v>99</v>
      </c>
      <c r="E48" s="3" t="s">
        <v>9</v>
      </c>
      <c r="F48" s="4"/>
    </row>
    <row r="49" customFormat="false" ht="33.75" hidden="false" customHeight="true" outlineLevel="0" collapsed="false">
      <c r="A49" s="2"/>
      <c r="B49" s="3" t="n">
        <v>15</v>
      </c>
      <c r="C49" s="4" t="s">
        <v>100</v>
      </c>
      <c r="D49" s="4" t="s">
        <v>101</v>
      </c>
      <c r="E49" s="3" t="s">
        <v>9</v>
      </c>
      <c r="F49" s="4"/>
    </row>
    <row r="50" customFormat="false" ht="33.75" hidden="false" customHeight="true" outlineLevel="0" collapsed="false">
      <c r="A50" s="2"/>
      <c r="B50" s="3" t="n">
        <v>16</v>
      </c>
      <c r="C50" s="4" t="s">
        <v>102</v>
      </c>
      <c r="D50" s="4" t="s">
        <v>103</v>
      </c>
      <c r="E50" s="3" t="s">
        <v>9</v>
      </c>
      <c r="F50" s="4"/>
    </row>
    <row r="51" customFormat="false" ht="33.75" hidden="false" customHeight="true" outlineLevel="0" collapsed="false">
      <c r="A51" s="2" t="s">
        <v>104</v>
      </c>
      <c r="B51" s="3" t="n">
        <v>1</v>
      </c>
      <c r="C51" s="4" t="s">
        <v>105</v>
      </c>
      <c r="D51" s="4" t="s">
        <v>106</v>
      </c>
      <c r="E51" s="3" t="s">
        <v>9</v>
      </c>
      <c r="F51" s="4"/>
    </row>
    <row r="52" customFormat="false" ht="33.75" hidden="false" customHeight="true" outlineLevel="0" collapsed="false">
      <c r="A52" s="2"/>
      <c r="B52" s="3" t="n">
        <v>2</v>
      </c>
      <c r="C52" s="4" t="s">
        <v>107</v>
      </c>
      <c r="D52" s="4" t="s">
        <v>108</v>
      </c>
      <c r="E52" s="3" t="s">
        <v>9</v>
      </c>
      <c r="F52" s="4"/>
    </row>
    <row r="53" customFormat="false" ht="33.75" hidden="false" customHeight="true" outlineLevel="0" collapsed="false">
      <c r="A53" s="2"/>
      <c r="B53" s="3" t="n">
        <v>3</v>
      </c>
      <c r="C53" s="4" t="s">
        <v>109</v>
      </c>
      <c r="D53" s="4" t="s">
        <v>110</v>
      </c>
      <c r="E53" s="3" t="s">
        <v>9</v>
      </c>
      <c r="F53" s="4"/>
    </row>
    <row r="54" customFormat="false" ht="33.75" hidden="false" customHeight="true" outlineLevel="0" collapsed="false">
      <c r="A54" s="2"/>
      <c r="B54" s="3" t="n">
        <v>4</v>
      </c>
      <c r="C54" s="4" t="s">
        <v>111</v>
      </c>
      <c r="D54" s="4" t="s">
        <v>112</v>
      </c>
      <c r="E54" s="3" t="s">
        <v>9</v>
      </c>
      <c r="F54" s="4"/>
    </row>
    <row r="55" customFormat="false" ht="33.75" hidden="false" customHeight="true" outlineLevel="0" collapsed="false">
      <c r="A55" s="2"/>
      <c r="B55" s="3" t="n">
        <v>5</v>
      </c>
      <c r="C55" s="4" t="s">
        <v>113</v>
      </c>
      <c r="D55" s="4" t="s">
        <v>114</v>
      </c>
      <c r="E55" s="3" t="s">
        <v>9</v>
      </c>
      <c r="F55" s="4"/>
    </row>
    <row r="56" customFormat="false" ht="33.75" hidden="false" customHeight="true" outlineLevel="0" collapsed="false">
      <c r="A56" s="2" t="s">
        <v>115</v>
      </c>
      <c r="B56" s="3" t="n">
        <v>1</v>
      </c>
      <c r="C56" s="4" t="s">
        <v>116</v>
      </c>
      <c r="D56" s="4" t="s">
        <v>117</v>
      </c>
      <c r="E56" s="3" t="s">
        <v>9</v>
      </c>
      <c r="F56" s="4"/>
    </row>
    <row r="57" customFormat="false" ht="33.75" hidden="false" customHeight="true" outlineLevel="0" collapsed="false">
      <c r="A57" s="2"/>
      <c r="B57" s="3" t="n">
        <v>2</v>
      </c>
      <c r="C57" s="4" t="s">
        <v>118</v>
      </c>
      <c r="D57" s="4" t="s">
        <v>119</v>
      </c>
      <c r="E57" s="3" t="s">
        <v>9</v>
      </c>
      <c r="F57" s="4"/>
    </row>
    <row r="58" customFormat="false" ht="33.75" hidden="false" customHeight="true" outlineLevel="0" collapsed="false">
      <c r="A58" s="2"/>
      <c r="B58" s="3" t="n">
        <v>3</v>
      </c>
      <c r="C58" s="4" t="s">
        <v>120</v>
      </c>
      <c r="D58" s="4" t="s">
        <v>121</v>
      </c>
      <c r="E58" s="3" t="s">
        <v>9</v>
      </c>
      <c r="F58" s="4"/>
    </row>
    <row r="59" customFormat="false" ht="33.75" hidden="false" customHeight="true" outlineLevel="0" collapsed="false">
      <c r="A59" s="2"/>
      <c r="B59" s="3" t="n">
        <v>4</v>
      </c>
      <c r="C59" s="4" t="s">
        <v>122</v>
      </c>
      <c r="D59" s="4" t="s">
        <v>123</v>
      </c>
      <c r="E59" s="3" t="s">
        <v>9</v>
      </c>
      <c r="F59" s="4"/>
    </row>
    <row r="60" customFormat="false" ht="33.75" hidden="false" customHeight="true" outlineLevel="0" collapsed="false">
      <c r="A60" s="2"/>
      <c r="B60" s="3" t="n">
        <v>5</v>
      </c>
      <c r="C60" s="4" t="s">
        <v>124</v>
      </c>
      <c r="D60" s="4" t="s">
        <v>125</v>
      </c>
      <c r="E60" s="3" t="s">
        <v>9</v>
      </c>
      <c r="F60" s="4"/>
    </row>
    <row r="61" customFormat="false" ht="33.75" hidden="false" customHeight="true" outlineLevel="0" collapsed="false">
      <c r="A61" s="2"/>
      <c r="B61" s="3" t="n">
        <v>6</v>
      </c>
      <c r="C61" s="4" t="s">
        <v>126</v>
      </c>
      <c r="D61" s="4" t="s">
        <v>127</v>
      </c>
      <c r="E61" s="3" t="s">
        <v>9</v>
      </c>
      <c r="F61" s="4"/>
    </row>
    <row r="62" customFormat="false" ht="33.75" hidden="false" customHeight="true" outlineLevel="0" collapsed="false">
      <c r="A62" s="2" t="s">
        <v>128</v>
      </c>
      <c r="B62" s="3" t="n">
        <v>1</v>
      </c>
      <c r="C62" s="4" t="s">
        <v>129</v>
      </c>
      <c r="D62" s="4" t="s">
        <v>130</v>
      </c>
      <c r="E62" s="3" t="s">
        <v>9</v>
      </c>
      <c r="F62" s="4"/>
    </row>
    <row r="63" customFormat="false" ht="33.75" hidden="false" customHeight="true" outlineLevel="0" collapsed="false">
      <c r="A63" s="2"/>
      <c r="B63" s="3" t="n">
        <v>2</v>
      </c>
      <c r="C63" s="4" t="s">
        <v>131</v>
      </c>
      <c r="D63" s="4" t="s">
        <v>132</v>
      </c>
      <c r="E63" s="3" t="s">
        <v>9</v>
      </c>
      <c r="F63" s="4"/>
    </row>
    <row r="64" customFormat="false" ht="33.75" hidden="false" customHeight="true" outlineLevel="0" collapsed="false">
      <c r="A64" s="2"/>
      <c r="B64" s="3" t="n">
        <v>3</v>
      </c>
      <c r="C64" s="4" t="s">
        <v>133</v>
      </c>
      <c r="D64" s="4" t="s">
        <v>134</v>
      </c>
      <c r="E64" s="3" t="s">
        <v>9</v>
      </c>
      <c r="F64" s="4"/>
    </row>
    <row r="65" customFormat="false" ht="33.75" hidden="false" customHeight="true" outlineLevel="0" collapsed="false">
      <c r="A65" s="2"/>
      <c r="B65" s="3" t="n">
        <v>4</v>
      </c>
      <c r="C65" s="4" t="s">
        <v>135</v>
      </c>
      <c r="D65" s="4" t="s">
        <v>136</v>
      </c>
      <c r="E65" s="3" t="s">
        <v>9</v>
      </c>
      <c r="F65" s="4"/>
    </row>
    <row r="66" customFormat="false" ht="33.75" hidden="false" customHeight="true" outlineLevel="0" collapsed="false">
      <c r="A66" s="2" t="s">
        <v>137</v>
      </c>
      <c r="B66" s="3" t="n">
        <v>1</v>
      </c>
      <c r="C66" s="4" t="s">
        <v>138</v>
      </c>
      <c r="D66" s="4" t="s">
        <v>139</v>
      </c>
      <c r="E66" s="3" t="s">
        <v>9</v>
      </c>
      <c r="F66" s="4"/>
    </row>
    <row r="67" customFormat="false" ht="33.75" hidden="false" customHeight="true" outlineLevel="0" collapsed="false">
      <c r="A67" s="2"/>
      <c r="B67" s="3" t="n">
        <v>2</v>
      </c>
      <c r="C67" s="4" t="s">
        <v>140</v>
      </c>
      <c r="D67" s="4" t="s">
        <v>141</v>
      </c>
      <c r="E67" s="3" t="s">
        <v>9</v>
      </c>
      <c r="F67" s="4"/>
    </row>
    <row r="68" customFormat="false" ht="33.75" hidden="false" customHeight="true" outlineLevel="0" collapsed="false">
      <c r="A68" s="2"/>
      <c r="B68" s="3" t="n">
        <v>3</v>
      </c>
      <c r="C68" s="4" t="s">
        <v>142</v>
      </c>
      <c r="D68" s="4" t="s">
        <v>143</v>
      </c>
      <c r="E68" s="3" t="s">
        <v>9</v>
      </c>
      <c r="F68" s="4"/>
    </row>
    <row r="69" customFormat="false" ht="33.75" hidden="false" customHeight="true" outlineLevel="0" collapsed="false">
      <c r="A69" s="2" t="s">
        <v>144</v>
      </c>
      <c r="B69" s="3" t="n">
        <v>1</v>
      </c>
      <c r="C69" s="4" t="s">
        <v>145</v>
      </c>
      <c r="D69" s="4" t="s">
        <v>146</v>
      </c>
      <c r="E69" s="3" t="s">
        <v>9</v>
      </c>
      <c r="F69" s="4"/>
    </row>
    <row r="70" customFormat="false" ht="33.75" hidden="false" customHeight="true" outlineLevel="0" collapsed="false">
      <c r="A70" s="2"/>
      <c r="B70" s="3" t="n">
        <v>2</v>
      </c>
      <c r="C70" s="4" t="s">
        <v>147</v>
      </c>
      <c r="D70" s="4" t="s">
        <v>148</v>
      </c>
      <c r="E70" s="3" t="s">
        <v>9</v>
      </c>
      <c r="F70" s="4"/>
    </row>
    <row r="71" customFormat="false" ht="33.75" hidden="false" customHeight="true" outlineLevel="0" collapsed="false">
      <c r="A71" s="2"/>
      <c r="B71" s="3" t="n">
        <v>3</v>
      </c>
      <c r="C71" s="4" t="s">
        <v>149</v>
      </c>
      <c r="D71" s="4" t="s">
        <v>150</v>
      </c>
      <c r="E71" s="3" t="s">
        <v>9</v>
      </c>
      <c r="F71" s="4"/>
    </row>
    <row r="72" customFormat="false" ht="33.75" hidden="false" customHeight="true" outlineLevel="0" collapsed="false">
      <c r="A72" s="2"/>
      <c r="B72" s="3" t="n">
        <v>4</v>
      </c>
      <c r="C72" s="4" t="s">
        <v>151</v>
      </c>
      <c r="D72" s="4" t="s">
        <v>152</v>
      </c>
      <c r="E72" s="3" t="s">
        <v>9</v>
      </c>
      <c r="F72" s="4"/>
    </row>
    <row r="73" customFormat="false" ht="33.75" hidden="false" customHeight="true" outlineLevel="0" collapsed="false">
      <c r="A73" s="2"/>
      <c r="B73" s="3" t="n">
        <v>5</v>
      </c>
      <c r="C73" s="4" t="s">
        <v>153</v>
      </c>
      <c r="D73" s="4" t="s">
        <v>154</v>
      </c>
      <c r="E73" s="3" t="s">
        <v>9</v>
      </c>
      <c r="F73" s="4"/>
    </row>
    <row r="74" customFormat="false" ht="33.75" hidden="false" customHeight="true" outlineLevel="0" collapsed="false">
      <c r="A74" s="2" t="s">
        <v>155</v>
      </c>
      <c r="B74" s="3" t="n">
        <v>1</v>
      </c>
      <c r="C74" s="4" t="s">
        <v>156</v>
      </c>
      <c r="D74" s="4" t="s">
        <v>157</v>
      </c>
      <c r="E74" s="3" t="s">
        <v>9</v>
      </c>
      <c r="F74" s="4"/>
    </row>
    <row r="75" customFormat="false" ht="33.75" hidden="false" customHeight="true" outlineLevel="0" collapsed="false">
      <c r="A75" s="2"/>
      <c r="B75" s="3" t="n">
        <v>2</v>
      </c>
      <c r="C75" s="4" t="s">
        <v>158</v>
      </c>
      <c r="D75" s="4" t="s">
        <v>159</v>
      </c>
      <c r="E75" s="3" t="s">
        <v>9</v>
      </c>
      <c r="F75" s="4"/>
    </row>
    <row r="76" customFormat="false" ht="33.75" hidden="false" customHeight="true" outlineLevel="0" collapsed="false">
      <c r="A76" s="2"/>
      <c r="B76" s="3" t="n">
        <v>3</v>
      </c>
      <c r="C76" s="4" t="s">
        <v>160</v>
      </c>
      <c r="D76" s="4" t="s">
        <v>161</v>
      </c>
      <c r="E76" s="3" t="s">
        <v>9</v>
      </c>
      <c r="F76" s="4"/>
    </row>
    <row r="77" customFormat="false" ht="33.75" hidden="false" customHeight="true" outlineLevel="0" collapsed="false">
      <c r="A77" s="2"/>
      <c r="B77" s="3" t="n">
        <v>4</v>
      </c>
      <c r="C77" s="4" t="s">
        <v>162</v>
      </c>
      <c r="D77" s="4" t="s">
        <v>163</v>
      </c>
      <c r="E77" s="3" t="s">
        <v>9</v>
      </c>
      <c r="F77" s="4"/>
    </row>
    <row r="78" customFormat="false" ht="33.75" hidden="false" customHeight="true" outlineLevel="0" collapsed="false">
      <c r="A78" s="2"/>
      <c r="B78" s="3" t="n">
        <v>5</v>
      </c>
      <c r="C78" s="4" t="s">
        <v>164</v>
      </c>
      <c r="D78" s="4" t="s">
        <v>165</v>
      </c>
      <c r="E78" s="3" t="s">
        <v>9</v>
      </c>
      <c r="F78" s="4"/>
    </row>
    <row r="79" customFormat="false" ht="33.75" hidden="false" customHeight="true" outlineLevel="0" collapsed="false">
      <c r="A79" s="2"/>
      <c r="B79" s="3" t="n">
        <v>6</v>
      </c>
      <c r="C79" s="4" t="s">
        <v>166</v>
      </c>
      <c r="D79" s="4" t="s">
        <v>167</v>
      </c>
      <c r="E79" s="3" t="s">
        <v>9</v>
      </c>
      <c r="F79" s="4"/>
    </row>
    <row r="80" customFormat="false" ht="33.75" hidden="false" customHeight="true" outlineLevel="0" collapsed="false">
      <c r="A80" s="2"/>
      <c r="B80" s="3" t="n">
        <v>7</v>
      </c>
      <c r="C80" s="4" t="s">
        <v>168</v>
      </c>
      <c r="D80" s="4" t="s">
        <v>169</v>
      </c>
      <c r="E80" s="3" t="s">
        <v>9</v>
      </c>
      <c r="F80" s="4"/>
    </row>
    <row r="81" customFormat="false" ht="33.75" hidden="false" customHeight="true" outlineLevel="0" collapsed="false">
      <c r="A81" s="2"/>
      <c r="B81" s="3" t="n">
        <v>8</v>
      </c>
      <c r="C81" s="4" t="s">
        <v>170</v>
      </c>
      <c r="D81" s="4" t="s">
        <v>171</v>
      </c>
      <c r="E81" s="3" t="s">
        <v>9</v>
      </c>
      <c r="F81" s="4"/>
    </row>
    <row r="82" customFormat="false" ht="33.75" hidden="false" customHeight="true" outlineLevel="0" collapsed="false">
      <c r="A82" s="2"/>
      <c r="B82" s="3" t="n">
        <v>9</v>
      </c>
      <c r="C82" s="4" t="s">
        <v>172</v>
      </c>
      <c r="D82" s="4" t="s">
        <v>173</v>
      </c>
      <c r="E82" s="3" t="s">
        <v>9</v>
      </c>
      <c r="F82" s="4"/>
    </row>
    <row r="83" customFormat="false" ht="33.75" hidden="false" customHeight="true" outlineLevel="0" collapsed="false">
      <c r="A83" s="2"/>
      <c r="B83" s="3" t="n">
        <v>10</v>
      </c>
      <c r="C83" s="4" t="s">
        <v>174</v>
      </c>
      <c r="D83" s="4" t="s">
        <v>175</v>
      </c>
      <c r="E83" s="3" t="s">
        <v>9</v>
      </c>
      <c r="F83" s="4"/>
    </row>
    <row r="84" customFormat="false" ht="33.75" hidden="false" customHeight="true" outlineLevel="0" collapsed="false">
      <c r="A84" s="2"/>
      <c r="B84" s="3" t="n">
        <v>11</v>
      </c>
      <c r="C84" s="4" t="s">
        <v>176</v>
      </c>
      <c r="D84" s="4" t="s">
        <v>177</v>
      </c>
      <c r="E84" s="3" t="s">
        <v>9</v>
      </c>
      <c r="F84" s="4"/>
    </row>
    <row r="85" customFormat="false" ht="33.75" hidden="false" customHeight="true" outlineLevel="0" collapsed="false">
      <c r="A85" s="2"/>
      <c r="B85" s="3" t="n">
        <v>12</v>
      </c>
      <c r="C85" s="4" t="s">
        <v>178</v>
      </c>
      <c r="D85" s="4" t="s">
        <v>179</v>
      </c>
      <c r="E85" s="3" t="s">
        <v>9</v>
      </c>
      <c r="F85" s="4"/>
    </row>
    <row r="86" customFormat="false" ht="33.75" hidden="false" customHeight="true" outlineLevel="0" collapsed="false">
      <c r="A86" s="2" t="s">
        <v>180</v>
      </c>
      <c r="B86" s="3" t="n">
        <v>1</v>
      </c>
      <c r="C86" s="4" t="s">
        <v>181</v>
      </c>
      <c r="D86" s="4" t="s">
        <v>182</v>
      </c>
      <c r="E86" s="3" t="s">
        <v>9</v>
      </c>
      <c r="F86" s="4"/>
    </row>
    <row r="87" customFormat="false" ht="33.75" hidden="false" customHeight="true" outlineLevel="0" collapsed="false">
      <c r="A87" s="2"/>
      <c r="B87" s="3" t="n">
        <v>2</v>
      </c>
      <c r="C87" s="4" t="s">
        <v>183</v>
      </c>
      <c r="D87" s="4" t="s">
        <v>184</v>
      </c>
      <c r="E87" s="3" t="s">
        <v>9</v>
      </c>
      <c r="F87" s="4"/>
    </row>
    <row r="88" customFormat="false" ht="33.75" hidden="false" customHeight="true" outlineLevel="0" collapsed="false">
      <c r="A88" s="2"/>
      <c r="B88" s="3" t="n">
        <v>3</v>
      </c>
      <c r="C88" s="4" t="s">
        <v>185</v>
      </c>
      <c r="D88" s="4" t="s">
        <v>186</v>
      </c>
      <c r="E88" s="3" t="s">
        <v>9</v>
      </c>
      <c r="F88" s="4"/>
    </row>
    <row r="89" customFormat="false" ht="33.75" hidden="false" customHeight="true" outlineLevel="0" collapsed="false">
      <c r="A89" s="2"/>
      <c r="B89" s="3" t="n">
        <v>4</v>
      </c>
      <c r="C89" s="4" t="s">
        <v>187</v>
      </c>
      <c r="D89" s="4" t="s">
        <v>188</v>
      </c>
      <c r="E89" s="3" t="s">
        <v>9</v>
      </c>
      <c r="F89" s="4"/>
    </row>
    <row r="90" customFormat="false" ht="33.75" hidden="false" customHeight="true" outlineLevel="0" collapsed="false">
      <c r="A90" s="2"/>
      <c r="B90" s="3" t="n">
        <v>5</v>
      </c>
      <c r="C90" s="4" t="s">
        <v>189</v>
      </c>
      <c r="D90" s="4" t="s">
        <v>190</v>
      </c>
      <c r="E90" s="3" t="s">
        <v>9</v>
      </c>
      <c r="F90" s="4"/>
    </row>
    <row r="91" customFormat="false" ht="33.75" hidden="false" customHeight="true" outlineLevel="0" collapsed="false">
      <c r="A91" s="2"/>
      <c r="B91" s="3" t="n">
        <v>6</v>
      </c>
      <c r="C91" s="4" t="s">
        <v>191</v>
      </c>
      <c r="D91" s="4" t="s">
        <v>192</v>
      </c>
      <c r="E91" s="3" t="s">
        <v>9</v>
      </c>
      <c r="F91" s="4"/>
    </row>
    <row r="92" customFormat="false" ht="33.75" hidden="false" customHeight="true" outlineLevel="0" collapsed="false">
      <c r="A92" s="2"/>
      <c r="B92" s="3" t="n">
        <v>7</v>
      </c>
      <c r="C92" s="4" t="s">
        <v>193</v>
      </c>
      <c r="D92" s="4" t="s">
        <v>194</v>
      </c>
      <c r="E92" s="3" t="s">
        <v>9</v>
      </c>
      <c r="F92" s="4"/>
    </row>
    <row r="93" customFormat="false" ht="33.75" hidden="false" customHeight="true" outlineLevel="0" collapsed="false">
      <c r="A93" s="2"/>
      <c r="B93" s="3" t="n">
        <v>8</v>
      </c>
      <c r="C93" s="4" t="s">
        <v>195</v>
      </c>
      <c r="D93" s="4" t="s">
        <v>196</v>
      </c>
      <c r="E93" s="3" t="s">
        <v>9</v>
      </c>
      <c r="F93" s="4"/>
    </row>
    <row r="94" customFormat="false" ht="33.75" hidden="false" customHeight="true" outlineLevel="0" collapsed="false">
      <c r="A94" s="2"/>
      <c r="B94" s="3" t="n">
        <v>9</v>
      </c>
      <c r="C94" s="4" t="s">
        <v>197</v>
      </c>
      <c r="D94" s="4" t="s">
        <v>198</v>
      </c>
      <c r="E94" s="3" t="s">
        <v>9</v>
      </c>
      <c r="F94" s="4"/>
    </row>
    <row r="95" customFormat="false" ht="33.75" hidden="false" customHeight="true" outlineLevel="0" collapsed="false">
      <c r="A95" s="2" t="s">
        <v>199</v>
      </c>
      <c r="B95" s="3" t="n">
        <v>1</v>
      </c>
      <c r="C95" s="4" t="s">
        <v>200</v>
      </c>
      <c r="D95" s="4" t="s">
        <v>201</v>
      </c>
      <c r="E95" s="3" t="s">
        <v>9</v>
      </c>
      <c r="F95" s="4"/>
    </row>
    <row r="96" customFormat="false" ht="33.75" hidden="false" customHeight="true" outlineLevel="0" collapsed="false">
      <c r="A96" s="2"/>
      <c r="B96" s="3" t="n">
        <v>2</v>
      </c>
      <c r="C96" s="4" t="s">
        <v>202</v>
      </c>
      <c r="D96" s="4" t="s">
        <v>203</v>
      </c>
      <c r="E96" s="3" t="s">
        <v>9</v>
      </c>
      <c r="F96" s="4"/>
    </row>
    <row r="97" customFormat="false" ht="33.75" hidden="false" customHeight="true" outlineLevel="0" collapsed="false">
      <c r="A97" s="2"/>
      <c r="B97" s="3" t="n">
        <v>3</v>
      </c>
      <c r="C97" s="4" t="s">
        <v>204</v>
      </c>
      <c r="D97" s="4" t="s">
        <v>205</v>
      </c>
      <c r="E97" s="3" t="s">
        <v>9</v>
      </c>
      <c r="F97" s="4"/>
    </row>
  </sheetData>
  <autoFilter ref="A1:F97"/>
  <mergeCells count="14">
    <mergeCell ref="A2:A14"/>
    <mergeCell ref="A15:A17"/>
    <mergeCell ref="A18:A23"/>
    <mergeCell ref="A24:A31"/>
    <mergeCell ref="A32:A34"/>
    <mergeCell ref="A35:A50"/>
    <mergeCell ref="A51:A55"/>
    <mergeCell ref="A56:A61"/>
    <mergeCell ref="A62:A65"/>
    <mergeCell ref="A66:A68"/>
    <mergeCell ref="A69:A73"/>
    <mergeCell ref="A74:A85"/>
    <mergeCell ref="A86:A94"/>
    <mergeCell ref="A95:A97"/>
  </mergeCells>
  <dataValidations count="1">
    <dataValidation allowBlank="true" errorStyle="stop" operator="between" showDropDown="false" showErrorMessage="false" showInputMessage="false" sqref="E2:E97" type="list">
      <formula1>"Not Tested,Pass,Fail,Blocked,N/A"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</row>
    <row r="2" customFormat="false" ht="27.75" hidden="false" customHeight="true" outlineLevel="0" collapsed="false">
      <c r="A2" s="4" t="s">
        <v>6</v>
      </c>
      <c r="B2" s="3" t="n">
        <v>13</v>
      </c>
      <c r="C2" s="3" t="n">
        <f aca="false">COUNTIFS('QA Checklist'!$E$2:$E$14,"Pass")</f>
        <v>0</v>
      </c>
      <c r="D2" s="3" t="n">
        <f aca="false">COUNTIFS('QA Checklist'!$E$2:$E$14,"Fail")</f>
        <v>0</v>
      </c>
      <c r="E2" s="3" t="n">
        <f aca="false">COUNTIFS('QA Checklist'!$E$2:$E$14,"Blocked")</f>
        <v>0</v>
      </c>
      <c r="F2" s="3" t="n">
        <f aca="false">COUNTIFS('QA Checklist'!$E$2:$E$14,"Not Tested")+COUNTIFS('QA Checklist'!$E$2:$E$14,"N/A")</f>
        <v>13</v>
      </c>
    </row>
    <row r="3" customFormat="false" ht="27.75" hidden="false" customHeight="true" outlineLevel="0" collapsed="false">
      <c r="A3" s="4" t="s">
        <v>30</v>
      </c>
      <c r="B3" s="3" t="n">
        <v>3</v>
      </c>
      <c r="C3" s="3" t="n">
        <f aca="false">COUNTIFS('QA Checklist'!$E$15:$E$17,"Pass")</f>
        <v>0</v>
      </c>
      <c r="D3" s="3" t="n">
        <f aca="false">COUNTIFS('QA Checklist'!$E$15:$E$17,"Fail")</f>
        <v>0</v>
      </c>
      <c r="E3" s="3" t="n">
        <f aca="false">COUNTIFS('QA Checklist'!$E$15:$E$17,"Blocked")</f>
        <v>0</v>
      </c>
      <c r="F3" s="3" t="n">
        <f aca="false">COUNTIFS('QA Checklist'!$E$15:$E$17,"Not Tested")+COUNTIFS('QA Checklist'!$E$15:$E$17,"N/A")</f>
        <v>3</v>
      </c>
    </row>
    <row r="4" customFormat="false" ht="27.75" hidden="false" customHeight="true" outlineLevel="0" collapsed="false">
      <c r="A4" s="4" t="s">
        <v>37</v>
      </c>
      <c r="B4" s="3" t="n">
        <v>6</v>
      </c>
      <c r="C4" s="3" t="n">
        <f aca="false">COUNTIFS('QA Checklist'!$E$18:$E$23,"Pass")</f>
        <v>0</v>
      </c>
      <c r="D4" s="3" t="n">
        <f aca="false">COUNTIFS('QA Checklist'!$E$18:$E$23,"Fail")</f>
        <v>0</v>
      </c>
      <c r="E4" s="3" t="n">
        <f aca="false">COUNTIFS('QA Checklist'!$E$18:$E$23,"Blocked")</f>
        <v>0</v>
      </c>
      <c r="F4" s="3" t="n">
        <f aca="false">COUNTIFS('QA Checklist'!$E$18:$E$23,"Not Tested")+COUNTIFS('QA Checklist'!$E$18:$E$23,"N/A")</f>
        <v>6</v>
      </c>
    </row>
    <row r="5" customFormat="false" ht="27.75" hidden="false" customHeight="true" outlineLevel="0" collapsed="false">
      <c r="A5" s="4" t="s">
        <v>49</v>
      </c>
      <c r="B5" s="3" t="n">
        <v>8</v>
      </c>
      <c r="C5" s="3" t="n">
        <f aca="false">COUNTIFS('QA Checklist'!$E$24:$E$31,"Pass")</f>
        <v>0</v>
      </c>
      <c r="D5" s="3" t="n">
        <f aca="false">COUNTIFS('QA Checklist'!$E$24:$E$31,"Fail")</f>
        <v>0</v>
      </c>
      <c r="E5" s="3" t="n">
        <f aca="false">COUNTIFS('QA Checklist'!$E$24:$E$31,"Blocked")</f>
        <v>0</v>
      </c>
      <c r="F5" s="3" t="n">
        <f aca="false">COUNTIFS('QA Checklist'!$E$24:$E$31,"Not Tested")+COUNTIFS('QA Checklist'!$E$24:$E$31,"N/A")</f>
        <v>8</v>
      </c>
    </row>
    <row r="6" customFormat="false" ht="27.75" hidden="false" customHeight="true" outlineLevel="0" collapsed="false">
      <c r="A6" s="4" t="s">
        <v>66</v>
      </c>
      <c r="B6" s="3" t="n">
        <v>3</v>
      </c>
      <c r="C6" s="3" t="n">
        <f aca="false">COUNTIFS('QA Checklist'!$E$32:$E$34,"Pass")</f>
        <v>0</v>
      </c>
      <c r="D6" s="3" t="n">
        <f aca="false">COUNTIFS('QA Checklist'!$E$32:$E$34,"Fail")</f>
        <v>0</v>
      </c>
      <c r="E6" s="3" t="n">
        <f aca="false">COUNTIFS('QA Checklist'!$E$32:$E$34,"Blocked")</f>
        <v>0</v>
      </c>
      <c r="F6" s="3" t="n">
        <f aca="false">COUNTIFS('QA Checklist'!$E$32:$E$34,"Not Tested")+COUNTIFS('QA Checklist'!$E$32:$E$34,"N/A")</f>
        <v>3</v>
      </c>
    </row>
    <row r="7" customFormat="false" ht="27.75" hidden="false" customHeight="true" outlineLevel="0" collapsed="false">
      <c r="A7" s="4" t="s">
        <v>72</v>
      </c>
      <c r="B7" s="3" t="n">
        <v>16</v>
      </c>
      <c r="C7" s="3" t="n">
        <f aca="false">COUNTIFS('QA Checklist'!$E$35:$E$50,"Pass")</f>
        <v>0</v>
      </c>
      <c r="D7" s="3" t="n">
        <f aca="false">COUNTIFS('QA Checklist'!$E$35:$E$50,"Fail")</f>
        <v>0</v>
      </c>
      <c r="E7" s="3" t="n">
        <f aca="false">COUNTIFS('QA Checklist'!$E$35:$E$50,"Blocked")</f>
        <v>0</v>
      </c>
      <c r="F7" s="3" t="n">
        <f aca="false">COUNTIFS('QA Checklist'!$E$35:$E$50,"Not Tested")+COUNTIFS('QA Checklist'!$E$35:$E$50,"N/A")</f>
        <v>16</v>
      </c>
    </row>
    <row r="8" customFormat="false" ht="27.75" hidden="false" customHeight="true" outlineLevel="0" collapsed="false">
      <c r="A8" s="4" t="s">
        <v>104</v>
      </c>
      <c r="B8" s="3" t="n">
        <v>5</v>
      </c>
      <c r="C8" s="3" t="n">
        <f aca="false">COUNTIFS('QA Checklist'!$E$51:$E$55,"Pass")</f>
        <v>0</v>
      </c>
      <c r="D8" s="3" t="n">
        <f aca="false">COUNTIFS('QA Checklist'!$E$51:$E$55,"Fail")</f>
        <v>0</v>
      </c>
      <c r="E8" s="3" t="n">
        <f aca="false">COUNTIFS('QA Checklist'!$E$51:$E$55,"Blocked")</f>
        <v>0</v>
      </c>
      <c r="F8" s="3" t="n">
        <f aca="false">COUNTIFS('QA Checklist'!$E$51:$E$55,"Not Tested")+COUNTIFS('QA Checklist'!$E$51:$E$55,"N/A")</f>
        <v>5</v>
      </c>
    </row>
    <row r="9" customFormat="false" ht="27.75" hidden="false" customHeight="true" outlineLevel="0" collapsed="false">
      <c r="A9" s="4" t="s">
        <v>115</v>
      </c>
      <c r="B9" s="3" t="n">
        <v>6</v>
      </c>
      <c r="C9" s="3" t="n">
        <f aca="false">COUNTIFS('QA Checklist'!$E$56:$E$61,"Pass")</f>
        <v>0</v>
      </c>
      <c r="D9" s="3" t="n">
        <f aca="false">COUNTIFS('QA Checklist'!$E$56:$E$61,"Fail")</f>
        <v>0</v>
      </c>
      <c r="E9" s="3" t="n">
        <f aca="false">COUNTIFS('QA Checklist'!$E$56:$E$61,"Blocked")</f>
        <v>0</v>
      </c>
      <c r="F9" s="3" t="n">
        <f aca="false">COUNTIFS('QA Checklist'!$E$56:$E$61,"Not Tested")+COUNTIFS('QA Checklist'!$E$56:$E$61,"N/A")</f>
        <v>6</v>
      </c>
    </row>
    <row r="10" customFormat="false" ht="27.75" hidden="false" customHeight="true" outlineLevel="0" collapsed="false">
      <c r="A10" s="4" t="s">
        <v>128</v>
      </c>
      <c r="B10" s="3" t="n">
        <v>4</v>
      </c>
      <c r="C10" s="3" t="n">
        <f aca="false">COUNTIFS('QA Checklist'!$E$62:$E$65,"Pass")</f>
        <v>0</v>
      </c>
      <c r="D10" s="3" t="n">
        <f aca="false">COUNTIFS('QA Checklist'!$E$62:$E$65,"Fail")</f>
        <v>0</v>
      </c>
      <c r="E10" s="3" t="n">
        <f aca="false">COUNTIFS('QA Checklist'!$E$62:$E$65,"Blocked")</f>
        <v>0</v>
      </c>
      <c r="F10" s="3" t="n">
        <f aca="false">COUNTIFS('QA Checklist'!$E$62:$E$65,"Not Tested")+COUNTIFS('QA Checklist'!$E$62:$E$65,"N/A")</f>
        <v>4</v>
      </c>
    </row>
    <row r="11" customFormat="false" ht="27.75" hidden="false" customHeight="true" outlineLevel="0" collapsed="false">
      <c r="A11" s="4" t="s">
        <v>137</v>
      </c>
      <c r="B11" s="3" t="n">
        <v>3</v>
      </c>
      <c r="C11" s="3" t="n">
        <f aca="false">COUNTIFS('QA Checklist'!$E$66:$E$68,"Pass")</f>
        <v>0</v>
      </c>
      <c r="D11" s="3" t="n">
        <f aca="false">COUNTIFS('QA Checklist'!$E$66:$E$68,"Fail")</f>
        <v>0</v>
      </c>
      <c r="E11" s="3" t="n">
        <f aca="false">COUNTIFS('QA Checklist'!$E$66:$E$68,"Blocked")</f>
        <v>0</v>
      </c>
      <c r="F11" s="3" t="n">
        <f aca="false">COUNTIFS('QA Checklist'!$E$66:$E$68,"Not Tested")+COUNTIFS('QA Checklist'!$E$66:$E$68,"N/A")</f>
        <v>3</v>
      </c>
    </row>
    <row r="12" customFormat="false" ht="27.75" hidden="false" customHeight="true" outlineLevel="0" collapsed="false">
      <c r="A12" s="4" t="s">
        <v>144</v>
      </c>
      <c r="B12" s="3" t="n">
        <v>5</v>
      </c>
      <c r="C12" s="3" t="n">
        <f aca="false">COUNTIFS('QA Checklist'!$E$69:$E$73,"Pass")</f>
        <v>0</v>
      </c>
      <c r="D12" s="3" t="n">
        <f aca="false">COUNTIFS('QA Checklist'!$E$69:$E$73,"Fail")</f>
        <v>0</v>
      </c>
      <c r="E12" s="3" t="n">
        <f aca="false">COUNTIFS('QA Checklist'!$E$69:$E$73,"Blocked")</f>
        <v>0</v>
      </c>
      <c r="F12" s="3" t="n">
        <f aca="false">COUNTIFS('QA Checklist'!$E$69:$E$73,"Not Tested")+COUNTIFS('QA Checklist'!$E$69:$E$73,"N/A")</f>
        <v>5</v>
      </c>
    </row>
    <row r="13" customFormat="false" ht="27.75" hidden="false" customHeight="true" outlineLevel="0" collapsed="false">
      <c r="A13" s="4" t="s">
        <v>155</v>
      </c>
      <c r="B13" s="3" t="n">
        <v>12</v>
      </c>
      <c r="C13" s="3" t="n">
        <f aca="false">COUNTIFS('QA Checklist'!$E$74:$E$85,"Pass")</f>
        <v>0</v>
      </c>
      <c r="D13" s="3" t="n">
        <f aca="false">COUNTIFS('QA Checklist'!$E$74:$E$85,"Fail")</f>
        <v>0</v>
      </c>
      <c r="E13" s="3" t="n">
        <f aca="false">COUNTIFS('QA Checklist'!$E$74:$E$85,"Blocked")</f>
        <v>0</v>
      </c>
      <c r="F13" s="3" t="n">
        <f aca="false">COUNTIFS('QA Checklist'!$E$74:$E$85,"Not Tested")+COUNTIFS('QA Checklist'!$E$74:$E$85,"N/A")</f>
        <v>12</v>
      </c>
    </row>
    <row r="14" customFormat="false" ht="27.75" hidden="false" customHeight="true" outlineLevel="0" collapsed="false">
      <c r="A14" s="4" t="s">
        <v>180</v>
      </c>
      <c r="B14" s="3" t="n">
        <v>9</v>
      </c>
      <c r="C14" s="3" t="n">
        <f aca="false">COUNTIFS('QA Checklist'!$E$86:$E$94,"Pass")</f>
        <v>0</v>
      </c>
      <c r="D14" s="3" t="n">
        <f aca="false">COUNTIFS('QA Checklist'!$E$86:$E$94,"Fail")</f>
        <v>0</v>
      </c>
      <c r="E14" s="3" t="n">
        <f aca="false">COUNTIFS('QA Checklist'!$E$86:$E$94,"Blocked")</f>
        <v>0</v>
      </c>
      <c r="F14" s="3" t="n">
        <f aca="false">COUNTIFS('QA Checklist'!$E$86:$E$94,"Not Tested")+COUNTIFS('QA Checklist'!$E$86:$E$94,"N/A")</f>
        <v>9</v>
      </c>
    </row>
    <row r="15" customFormat="false" ht="27.75" hidden="false" customHeight="true" outlineLevel="0" collapsed="false">
      <c r="A15" s="4" t="s">
        <v>199</v>
      </c>
      <c r="B15" s="3" t="n">
        <v>3</v>
      </c>
      <c r="C15" s="3" t="n">
        <f aca="false">COUNTIFS('QA Checklist'!$E$95:$E$97,"Pass")</f>
        <v>0</v>
      </c>
      <c r="D15" s="3" t="n">
        <f aca="false">COUNTIFS('QA Checklist'!$E$95:$E$97,"Fail")</f>
        <v>0</v>
      </c>
      <c r="E15" s="3" t="n">
        <f aca="false">COUNTIFS('QA Checklist'!$E$95:$E$97,"Blocked")</f>
        <v>0</v>
      </c>
      <c r="F15" s="3" t="n">
        <f aca="false">COUNTIFS('QA Checklist'!$E$95:$E$97,"Not Tested")+COUNTIFS('QA Checklist'!$E$95:$E$97,"N/A")</f>
        <v>3</v>
      </c>
    </row>
    <row r="16" customFormat="false" ht="27.75" hidden="false" customHeight="true" outlineLevel="0" collapsed="false">
      <c r="A16" s="5" t="s">
        <v>211</v>
      </c>
      <c r="B16" s="6" t="n">
        <f aca="false">SUM(B2:B15)</f>
        <v>96</v>
      </c>
      <c r="C16" s="6" t="n">
        <f aca="false">SUM(C2:C15)</f>
        <v>0</v>
      </c>
      <c r="D16" s="6" t="n">
        <f aca="false">SUM(D2:D15)</f>
        <v>0</v>
      </c>
      <c r="E16" s="6" t="n">
        <f aca="false">SUM(E2:E15)</f>
        <v>0</v>
      </c>
      <c r="F16" s="6" t="n">
        <f aca="false">SUM(F2:F15)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2026-07-28T19:23:05Z</dcterms:created>
  <dc:creator>openpyxl</dc:creator>
  <dc:description/>
  <dc:language>en-US</dc:language>
  <cp:lastModifiedBy/>
  <dcterms:modified xsi:type="dcterms:W3CDTF">2026-07-28T19:23:05Z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